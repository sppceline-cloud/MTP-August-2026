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arabun"/>
      <b val="1"/>
      <color rgb="00FFFFFF"/>
      <sz val="16"/>
    </font>
    <font>
      <name val="Sarabun"/>
      <b val="1"/>
      <sz val="11"/>
    </font>
    <font>
      <name val="Sarabun"/>
      <b val="1"/>
      <color rgb="00FFFFFF"/>
      <sz val="11"/>
    </font>
    <font>
      <name val="Sarabun"/>
      <sz val="11"/>
    </font>
    <font>
      <name val="Sarabun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0" customWidth="1" min="1" max="1"/>
    <col width="41" customWidth="1" min="2" max="2"/>
    <col width="29" customWidth="1" min="3" max="3"/>
    <col width="25" customWidth="1" min="4" max="4"/>
    <col width="29" customWidth="1" min="5" max="5"/>
    <col width="28" customWidth="1" min="6" max="6"/>
    <col width="80" customWidth="1" min="7" max="7"/>
  </cols>
  <sheetData>
    <row r="1">
      <c r="A1" s="1" t="inlineStr">
        <is>
          <t>MTP WOOD THAILAND - รายงานสรุปงบการเงินและบัญชีเงินกู้ (สิงหาคม 2569)</t>
        </is>
      </c>
    </row>
    <row r="2"/>
    <row r="3"/>
    <row r="4">
      <c r="A4" s="2" t="inlineStr">
        <is>
          <t>1. รายงานสรุปงบการเงินและกำไรขาดทุนประจำเดือน (อิงไฟล์ REVENUE_all &amp; EXPENSES_all)</t>
        </is>
      </c>
    </row>
    <row r="5">
      <c r="A5" s="3" t="inlineStr">
        <is>
          <t>เดือน / งวดประจำปี</t>
        </is>
      </c>
      <c r="B5" s="3" t="inlineStr">
        <is>
          <t>MTP รายรับ (บาท)</t>
        </is>
      </c>
      <c r="C5" s="3" t="inlineStr">
        <is>
          <t>MTP รายจ่าย (บาท)</t>
        </is>
      </c>
      <c r="D5" s="3" t="inlineStr">
        <is>
          <t>MTP รายรับสุทธิ (บาท)</t>
        </is>
      </c>
      <c r="E5" s="3" t="inlineStr">
        <is>
          <t>จามจุรีย์ รายรับ (บาท)</t>
        </is>
      </c>
      <c r="F5" s="3" t="inlineStr">
        <is>
          <t>รายรับรวม 2 กิจการ (บาท)</t>
        </is>
      </c>
      <c r="G5" s="3" t="inlineStr">
        <is>
          <t>หมายเหตุ</t>
        </is>
      </c>
    </row>
    <row r="6">
      <c r="A6" s="4" t="inlineStr">
        <is>
          <t>สิงหาคม 2569</t>
        </is>
      </c>
      <c r="B6" s="5" t="n">
        <v>360701</v>
      </c>
      <c r="C6" s="5" t="n">
        <v>409060.62</v>
      </c>
      <c r="D6" s="5">
        <f>B6-C6</f>
        <v/>
      </c>
      <c r="E6" s="5" t="n">
        <v>0</v>
      </c>
      <c r="F6" s="5">
        <f>B6+E6</f>
        <v/>
      </c>
      <c r="G6" s="4" t="inlineStr">
        <is>
          <t>อิงไฟล์ MTP_WOOD_MTP-REVENUE_all.xlsx และ EXPENSES_all.xlsx</t>
        </is>
      </c>
    </row>
    <row r="7"/>
    <row r="8"/>
    <row r="9">
      <c r="A9" s="2" t="inlineStr">
        <is>
          <t>2. รายงานสรุปภาระหนี้กู้ยืมและผลการคืนยืมเงินหมุนเวียน (Revolving Loan &amp; Debt Summary)</t>
        </is>
      </c>
    </row>
    <row r="10">
      <c r="A10" s="3" t="inlineStr">
        <is>
          <t>ชื่อสมุดบัญชี / รายการภาระหนี้</t>
        </is>
      </c>
      <c r="B10" s="3" t="inlineStr">
        <is>
          <t>วัตถุประสงค์ / คำอธิบาย</t>
        </is>
      </c>
      <c r="C10" s="3" t="inlineStr">
        <is>
          <t>ยอดกู้/เบิกเพิ่มรวม (บาท)</t>
        </is>
      </c>
      <c r="D10" s="3" t="inlineStr">
        <is>
          <t>ยอดชำระคืนรวม (บาท)</t>
        </is>
      </c>
      <c r="E10" s="3" t="inlineStr">
        <is>
          <t>ยอดคงเหลือสะสมสุทธิ (บาท)</t>
        </is>
      </c>
      <c r="F10" s="3" t="inlineStr">
        <is>
          <t>สถานะหนี้</t>
        </is>
      </c>
      <c r="G10" s="3" t="inlineStr">
        <is>
          <t>หมายเหตุ</t>
        </is>
      </c>
    </row>
    <row r="11">
      <c r="A11" s="4" t="inlineStr">
        <is>
          <t>2. เงินยืม ที.วอช</t>
        </is>
      </c>
      <c r="B11" s="4" t="inlineStr">
        <is>
          <t>บัญชีเงินยืมสำรองหมุนเวียน T-Wash</t>
        </is>
      </c>
      <c r="C11" s="5" t="n">
        <v>394572.34</v>
      </c>
      <c r="D11" s="5" t="n">
        <v>198072.34</v>
      </c>
      <c r="E11" s="5">
        <f>C11-D11</f>
        <v/>
      </c>
      <c r="F11" s="4" t="inlineStr">
        <is>
          <t>มีภาระค้างชำระ</t>
        </is>
      </c>
      <c r="G11" s="6" t="inlineStr">
        <is>
          <t>ยืมที.วอช ค้างที.วอช เชียงราย 196,500 บาท</t>
        </is>
      </c>
    </row>
    <row r="12">
      <c r="A12" s="4" t="inlineStr">
        <is>
          <t>3. เงินกู้ คุณอาแสวง</t>
        </is>
      </c>
      <c r="B12" s="4" t="inlineStr">
        <is>
          <t>บัญชีเงินกู้ยืมจากคุณอาแสวง (เงินต้น)</t>
        </is>
      </c>
      <c r="C12" s="5" t="n">
        <v>500000</v>
      </c>
      <c r="D12" s="5" t="n">
        <v>0</v>
      </c>
      <c r="E12" s="5">
        <f>C12-D12</f>
        <v/>
      </c>
      <c r="F12" s="4" t="inlineStr">
        <is>
          <t>มีภาระค้างชำระ</t>
        </is>
      </c>
      <c r="G12" s="4" t="inlineStr">
        <is>
          <t>สัญญาเงินต้น 500k | ชำระดอกเบี้ยครบ 12 งวด (90,000 บาท) ชำระเงินต้น 0.00 บาท</t>
        </is>
      </c>
    </row>
    <row r="13">
      <c r="A13" s="4" t="inlineStr">
        <is>
          <t>4. เงินกู้ บ.วัน</t>
        </is>
      </c>
      <c r="B13" s="4" t="inlineStr">
        <is>
          <t>บัญชีเงินกู้ยืมจาก บ.วัน</t>
        </is>
      </c>
      <c r="C13" s="5" t="n">
        <v>250000</v>
      </c>
      <c r="D13" s="5" t="n">
        <v>75000</v>
      </c>
      <c r="E13" s="5">
        <f>C13-D13</f>
        <v/>
      </c>
      <c r="F13" s="4" t="inlineStr">
        <is>
          <t>มีภาระค้างชำระ</t>
        </is>
      </c>
      <c r="G13" s="4" t="inlineStr">
        <is>
          <t>ยอดสะสมยกมาจากสมุดบัญชี</t>
        </is>
      </c>
    </row>
    <row r="14">
      <c r="A14" s="4" t="inlineStr">
        <is>
          <t>5. เงินสำรองจ่าย พี่มัด</t>
        </is>
      </c>
      <c r="B14" s="4" t="inlineStr">
        <is>
          <t>บัญชีเงินสำรองจ่ายฉุกเฉิน พี่มัด</t>
        </is>
      </c>
      <c r="C14" s="5" t="n">
        <v>32606.03</v>
      </c>
      <c r="D14" s="5" t="n">
        <v>10000</v>
      </c>
      <c r="E14" s="5">
        <f>C14-D14</f>
        <v/>
      </c>
      <c r="F14" s="4" t="inlineStr">
        <is>
          <t>มีภาระค้างชำระ</t>
        </is>
      </c>
      <c r="G14" s="4" t="inlineStr">
        <is>
          <t>ยอดสะสมยกมาจากสมุดบัญชี</t>
        </is>
      </c>
    </row>
    <row r="15">
      <c r="A15" s="7" t="inlineStr">
        <is>
          <t>รวมยอดภาระหนี้กู้ยืมและเงินสำรองจ่ายคงเหลือสะสมสุทธิ</t>
        </is>
      </c>
      <c r="B15" s="8" t="n"/>
      <c r="C15" s="9">
        <f>SUM(C11:C14)</f>
        <v/>
      </c>
      <c r="D15" s="9">
        <f>SUM(D11:D14)</f>
        <v/>
      </c>
      <c r="E15" s="9">
        <f>C15-D15</f>
        <v/>
      </c>
      <c r="F15" s="8" t="n"/>
      <c r="G15" s="10" t="inlineStr">
        <is>
          <t>รวมภาระหนี้คงเหลือสะสมสุทธิ 4 บัญชี (894,106.03 บาท)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2026-09-03T16:27:35Z</dcterms:created>
  <dcterms:modified xsi:type="dcterms:W3CDTF">2026-09-03T16:27:35Z</dcterms:modified>
</cp:coreProperties>
</file>